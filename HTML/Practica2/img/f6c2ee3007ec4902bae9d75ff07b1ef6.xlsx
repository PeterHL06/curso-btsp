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adas365-my.sharepoint.com/personal/pedro_hurtado_posadas_com/Documents/Documents/2025/www/curso-btsp/HTML/Practica2/img/"/>
    </mc:Choice>
  </mc:AlternateContent>
  <xr:revisionPtr revIDLastSave="10" documentId="11_53285CD68F79A823EE21A0B0F37BD272FA4FEF3F" xr6:coauthVersionLast="47" xr6:coauthVersionMax="47" xr10:uidLastSave="{8C54699B-EC44-4B0C-8CE7-8E40D29CC9A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" l="1"/>
  <c r="S7" i="1"/>
  <c r="S8" i="1"/>
  <c r="R20" i="1"/>
  <c r="R6" i="1"/>
  <c r="R11" i="1"/>
  <c r="R18" i="1"/>
  <c r="R5" i="1"/>
  <c r="S5" i="1" s="1"/>
  <c r="R9" i="1"/>
  <c r="R4" i="1"/>
  <c r="S4" i="1" s="1"/>
  <c r="R10" i="1"/>
  <c r="S10" i="1" s="1"/>
  <c r="R13" i="1"/>
  <c r="S13" i="1" s="1"/>
  <c r="R14" i="1"/>
  <c r="S14" i="1" s="1"/>
  <c r="R17" i="1"/>
  <c r="R2" i="1"/>
  <c r="S2" i="1" s="1"/>
  <c r="R12" i="1"/>
  <c r="R16" i="1"/>
  <c r="R21" i="1"/>
  <c r="R15" i="1"/>
  <c r="R7" i="1"/>
  <c r="R8" i="1"/>
  <c r="R19" i="1"/>
  <c r="S19" i="1" s="1"/>
  <c r="R22" i="1"/>
  <c r="S20" i="1" s="1"/>
  <c r="R3" i="1"/>
  <c r="S3" i="1" s="1"/>
  <c r="S18" i="1" l="1"/>
  <c r="S11" i="1"/>
  <c r="S12" i="1"/>
  <c r="S17" i="1"/>
  <c r="S16" i="1"/>
  <c r="S21" i="1"/>
  <c r="S6" i="1"/>
  <c r="S15" i="1"/>
</calcChain>
</file>

<file path=xl/sharedStrings.xml><?xml version="1.0" encoding="utf-8"?>
<sst xmlns="http://schemas.openxmlformats.org/spreadsheetml/2006/main" count="169" uniqueCount="23">
  <si>
    <t>AGENTE</t>
  </si>
  <si>
    <t>Hora</t>
  </si>
  <si>
    <t>Aaron Celaya</t>
  </si>
  <si>
    <t>-</t>
  </si>
  <si>
    <t>Alejandra Ramírez</t>
  </si>
  <si>
    <t>Edith Vázquez</t>
  </si>
  <si>
    <t>Eduardo Calderón</t>
  </si>
  <si>
    <t>Emanuel Calderon</t>
  </si>
  <si>
    <t>Emmanuel García</t>
  </si>
  <si>
    <t>Esmeralda De La Cruz</t>
  </si>
  <si>
    <t>Estefania Rangel</t>
  </si>
  <si>
    <t>Francisco Martínez</t>
  </si>
  <si>
    <t>Guillermo Torres</t>
  </si>
  <si>
    <t>Isaac Ortega</t>
  </si>
  <si>
    <t>Itzén Quiroz</t>
  </si>
  <si>
    <t>Jessica García</t>
  </si>
  <si>
    <t>Jessica Vega</t>
  </si>
  <si>
    <t>Jorge López</t>
  </si>
  <si>
    <t>Miriam Tena</t>
  </si>
  <si>
    <t>Rodrigo Alcalá</t>
  </si>
  <si>
    <t>Vianey Bahena</t>
  </si>
  <si>
    <t>Yadira Reyes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</si>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</sst>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###########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4646"/>
        <bgColor indexed="64"/>
      </patternFill>
    </fill>
  </fills>
  <borders count="6">
    <border>
      <left/>
      <right/>
      <top/>
      <bottom/>
      <diagonal/>
    </border>
    <border>
      <left style="thin">
        <color rgb="FF646464"/>
      </left>
      <right style="thin">
        <color rgb="FF646464"/>
      </right>
      <top style="medium">
        <color rgb="FF646464"/>
      </top>
      <bottom style="thin">
        <color rgb="FF646464"/>
      </bottom>
      <diagonal/>
    </border>
    <border>
      <left style="medium">
        <color rgb="FF646464"/>
      </left>
      <right style="thin">
        <color rgb="FF646464"/>
      </right>
      <top style="thin">
        <color rgb="FF646464"/>
      </top>
      <bottom style="medium">
        <color rgb="FF64646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646464"/>
      </left>
      <right/>
      <top style="thin">
        <color rgb="FF646464"/>
      </top>
      <bottom style="thin">
        <color rgb="FF646464"/>
      </bottom>
      <diagonal/>
    </border>
    <border>
      <left/>
      <right style="thin">
        <color rgb="FF646464"/>
      </right>
      <top style="thin">
        <color rgb="FF646464"/>
      </top>
      <bottom style="thin">
        <color rgb="FF6464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left" vertical="center" wrapText="1"/>
    </xf>
    <xf numFmtId="164" fontId="2" fillId="2" borderId="5" xfId="0" applyNumberFormat="1" applyFont="1" applyFill="1" applyBorder="1" applyAlignment="1">
      <alignment horizontal="left" vertical="center" wrapText="1"/>
    </xf>
    <xf numFmtId="165" fontId="1" fillId="2" borderId="4" xfId="0" applyNumberFormat="1" applyFont="1" applyFill="1" applyBorder="1" applyAlignment="1">
      <alignment horizontal="left" vertical="center" wrapText="1"/>
    </xf>
    <xf numFmtId="164" fontId="1" fillId="2" borderId="5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S2" sqref="S2"/>
    </sheetView>
  </sheetViews>
  <sheetFormatPr defaultRowHeight="14.4" x14ac:dyDescent="0.3"/>
  <cols>
    <col min="1" max="1" width="17.6640625" customWidth="1"/>
    <col min="2" max="2" width="8.44140625" customWidth="1"/>
    <col min="3" max="17" width="7.5546875" customWidth="1"/>
  </cols>
  <sheetData>
    <row r="1" spans="1:19" ht="13.8" customHeight="1" x14ac:dyDescent="0.3">
      <c r="A1" s="1" t="s">
        <v>0</v>
      </c>
      <c r="B1" s="2" t="s">
        <v>1</v>
      </c>
      <c r="C1" s="3">
        <v>7</v>
      </c>
      <c r="D1" s="3">
        <v>8</v>
      </c>
      <c r="E1" s="3">
        <v>9</v>
      </c>
      <c r="F1" s="3">
        <v>10</v>
      </c>
      <c r="G1" s="3">
        <v>11</v>
      </c>
      <c r="H1" s="3">
        <v>12</v>
      </c>
      <c r="I1" s="3">
        <v>13</v>
      </c>
      <c r="J1" s="3">
        <v>14</v>
      </c>
      <c r="K1" s="3">
        <v>15</v>
      </c>
      <c r="L1" s="3">
        <v>16</v>
      </c>
      <c r="M1" s="3">
        <v>17</v>
      </c>
      <c r="N1" s="3">
        <v>18</v>
      </c>
      <c r="O1" s="3">
        <v>19</v>
      </c>
      <c r="P1" s="3">
        <v>20</v>
      </c>
      <c r="Q1" s="3">
        <v>21</v>
      </c>
    </row>
    <row r="2" spans="1:19" ht="27.6" customHeight="1" x14ac:dyDescent="0.3">
      <c r="A2" s="4" t="s">
        <v>15</v>
      </c>
      <c r="B2" s="5"/>
      <c r="C2" s="8" t="s">
        <v>3</v>
      </c>
      <c r="D2" s="8" t="s">
        <v>3</v>
      </c>
      <c r="E2" s="9">
        <v>24</v>
      </c>
      <c r="F2" s="9">
        <v>28</v>
      </c>
      <c r="G2" s="9">
        <v>20</v>
      </c>
      <c r="H2" s="9">
        <v>36</v>
      </c>
      <c r="I2" s="9">
        <v>28</v>
      </c>
      <c r="J2" s="9">
        <v>24</v>
      </c>
      <c r="K2" s="9">
        <v>16</v>
      </c>
      <c r="L2" s="9">
        <v>16</v>
      </c>
      <c r="M2" s="8" t="s">
        <v>3</v>
      </c>
      <c r="N2" s="8" t="s">
        <v>3</v>
      </c>
      <c r="O2" s="8" t="s">
        <v>3</v>
      </c>
      <c r="P2" s="8" t="s">
        <v>3</v>
      </c>
      <c r="Q2" s="8" t="s">
        <v>3</v>
      </c>
      <c r="R2">
        <f>SUM(C2:Q2)</f>
        <v>192</v>
      </c>
      <c r="S2" s="11">
        <f>R2/$R$22</f>
        <v>0.14611872146118721</v>
      </c>
    </row>
    <row r="3" spans="1:19" ht="27.6" customHeight="1" x14ac:dyDescent="0.3">
      <c r="A3" s="4" t="s">
        <v>2</v>
      </c>
      <c r="B3" s="5"/>
      <c r="C3" s="8" t="s">
        <v>3</v>
      </c>
      <c r="D3" s="8" t="s">
        <v>3</v>
      </c>
      <c r="E3" s="8" t="s">
        <v>3</v>
      </c>
      <c r="F3" s="8" t="s">
        <v>3</v>
      </c>
      <c r="G3" s="9">
        <v>18</v>
      </c>
      <c r="H3" s="9">
        <v>31</v>
      </c>
      <c r="I3" s="9">
        <v>18</v>
      </c>
      <c r="J3" s="9">
        <v>8</v>
      </c>
      <c r="K3" s="9">
        <v>7</v>
      </c>
      <c r="L3" s="9">
        <v>9</v>
      </c>
      <c r="M3" s="9">
        <v>10</v>
      </c>
      <c r="N3" s="9">
        <v>12</v>
      </c>
      <c r="O3" s="8" t="s">
        <v>3</v>
      </c>
      <c r="P3" s="8" t="s">
        <v>3</v>
      </c>
      <c r="Q3" s="8" t="s">
        <v>3</v>
      </c>
      <c r="R3">
        <f>SUM(C3:Q3)</f>
        <v>113</v>
      </c>
      <c r="S3" s="11">
        <f>R3/$R$22</f>
        <v>8.5996955859969554E-2</v>
      </c>
    </row>
    <row r="4" spans="1:19" ht="27.6" customHeight="1" x14ac:dyDescent="0.3">
      <c r="A4" s="4" t="s">
        <v>10</v>
      </c>
      <c r="B4" s="5"/>
      <c r="C4" s="8" t="s">
        <v>3</v>
      </c>
      <c r="D4" s="8" t="s">
        <v>3</v>
      </c>
      <c r="E4" s="9">
        <v>16</v>
      </c>
      <c r="F4" s="9">
        <v>22</v>
      </c>
      <c r="G4" s="9">
        <v>13</v>
      </c>
      <c r="H4" s="9">
        <v>11</v>
      </c>
      <c r="I4" s="9">
        <v>17</v>
      </c>
      <c r="J4" s="9">
        <v>14</v>
      </c>
      <c r="K4" s="9">
        <v>5</v>
      </c>
      <c r="L4" s="9">
        <v>5</v>
      </c>
      <c r="M4" s="8" t="s">
        <v>3</v>
      </c>
      <c r="N4" s="8" t="s">
        <v>3</v>
      </c>
      <c r="O4" s="8" t="s">
        <v>3</v>
      </c>
      <c r="P4" s="8" t="s">
        <v>3</v>
      </c>
      <c r="Q4" s="8" t="s">
        <v>3</v>
      </c>
      <c r="R4">
        <f>SUM(C4:Q4)</f>
        <v>103</v>
      </c>
      <c r="S4" s="11">
        <f>R4/$R$22</f>
        <v>7.8386605783866053E-2</v>
      </c>
    </row>
    <row r="5" spans="1:19" ht="27.6" customHeight="1" x14ac:dyDescent="0.3">
      <c r="A5" s="4" t="s">
        <v>8</v>
      </c>
      <c r="B5" s="5"/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9">
        <v>5</v>
      </c>
      <c r="J5" s="9">
        <v>11</v>
      </c>
      <c r="K5" s="9">
        <v>7</v>
      </c>
      <c r="L5" s="9">
        <v>10</v>
      </c>
      <c r="M5" s="9">
        <v>8</v>
      </c>
      <c r="N5" s="9">
        <v>6</v>
      </c>
      <c r="O5" s="9">
        <v>17</v>
      </c>
      <c r="P5" s="9">
        <v>11</v>
      </c>
      <c r="Q5" s="9">
        <v>9</v>
      </c>
      <c r="R5">
        <f>SUM(C5:Q5)</f>
        <v>84</v>
      </c>
      <c r="S5" s="11">
        <f>R5/$R$22</f>
        <v>6.3926940639269403E-2</v>
      </c>
    </row>
    <row r="6" spans="1:19" ht="27.6" customHeight="1" x14ac:dyDescent="0.3">
      <c r="A6" s="4" t="s">
        <v>5</v>
      </c>
      <c r="B6" s="5"/>
      <c r="C6" s="8" t="s">
        <v>3</v>
      </c>
      <c r="D6" s="8" t="s">
        <v>3</v>
      </c>
      <c r="E6" s="9">
        <v>3</v>
      </c>
      <c r="F6" s="9">
        <v>7</v>
      </c>
      <c r="G6" s="9">
        <v>12</v>
      </c>
      <c r="H6" s="9">
        <v>4</v>
      </c>
      <c r="I6" s="9">
        <v>9</v>
      </c>
      <c r="J6" s="9">
        <v>15</v>
      </c>
      <c r="K6" s="9">
        <v>16</v>
      </c>
      <c r="L6" s="9">
        <v>14</v>
      </c>
      <c r="M6" s="9">
        <v>1</v>
      </c>
      <c r="N6" s="8" t="s">
        <v>3</v>
      </c>
      <c r="O6" s="8" t="s">
        <v>3</v>
      </c>
      <c r="P6" s="8" t="s">
        <v>3</v>
      </c>
      <c r="Q6" s="8" t="s">
        <v>3</v>
      </c>
      <c r="R6">
        <f>SUM(C6:Q6)</f>
        <v>81</v>
      </c>
      <c r="S6" s="11">
        <f>R6/$R$22</f>
        <v>6.1643835616438353E-2</v>
      </c>
    </row>
    <row r="7" spans="1:19" ht="27.6" customHeight="1" x14ac:dyDescent="0.3">
      <c r="A7" s="4" t="s">
        <v>20</v>
      </c>
      <c r="B7" s="5"/>
      <c r="C7" s="8" t="s">
        <v>3</v>
      </c>
      <c r="D7" s="8" t="s">
        <v>3</v>
      </c>
      <c r="E7" s="9">
        <v>14</v>
      </c>
      <c r="F7" s="9">
        <v>14</v>
      </c>
      <c r="G7" s="9">
        <v>8</v>
      </c>
      <c r="H7" s="9">
        <v>13</v>
      </c>
      <c r="I7" s="9">
        <v>7</v>
      </c>
      <c r="J7" s="9">
        <v>8</v>
      </c>
      <c r="K7" s="9">
        <v>6</v>
      </c>
      <c r="L7" s="9">
        <v>11</v>
      </c>
      <c r="M7" s="8" t="s">
        <v>3</v>
      </c>
      <c r="N7" s="8" t="s">
        <v>3</v>
      </c>
      <c r="O7" s="8" t="s">
        <v>3</v>
      </c>
      <c r="P7" s="8" t="s">
        <v>3</v>
      </c>
      <c r="Q7" s="8" t="s">
        <v>3</v>
      </c>
      <c r="R7">
        <f>SUM(C7:Q7)</f>
        <v>81</v>
      </c>
      <c r="S7" s="11">
        <f>R7/$R$22</f>
        <v>6.1643835616438353E-2</v>
      </c>
    </row>
    <row r="8" spans="1:19" ht="27.6" customHeight="1" x14ac:dyDescent="0.3">
      <c r="A8" s="4" t="s">
        <v>21</v>
      </c>
      <c r="B8" s="5"/>
      <c r="C8" s="9">
        <v>22</v>
      </c>
      <c r="D8" s="9">
        <v>11</v>
      </c>
      <c r="E8" s="9">
        <v>15</v>
      </c>
      <c r="F8" s="9">
        <v>10</v>
      </c>
      <c r="G8" s="9">
        <v>10</v>
      </c>
      <c r="H8" s="9">
        <v>7</v>
      </c>
      <c r="I8" s="9">
        <v>6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>
        <f>SUM(C8:Q8)</f>
        <v>81</v>
      </c>
      <c r="S8" s="11">
        <f>R8/$R$22</f>
        <v>6.1643835616438353E-2</v>
      </c>
    </row>
    <row r="9" spans="1:19" ht="27.6" customHeight="1" x14ac:dyDescent="0.3">
      <c r="A9" s="4" t="s">
        <v>9</v>
      </c>
      <c r="B9" s="5"/>
      <c r="C9" s="8" t="s">
        <v>3</v>
      </c>
      <c r="D9" s="9">
        <v>1</v>
      </c>
      <c r="E9" s="9">
        <v>9</v>
      </c>
      <c r="F9" s="9">
        <v>14</v>
      </c>
      <c r="G9" s="9">
        <v>13</v>
      </c>
      <c r="H9" s="9">
        <v>7</v>
      </c>
      <c r="I9" s="9">
        <v>11</v>
      </c>
      <c r="J9" s="9">
        <v>5</v>
      </c>
      <c r="K9" s="9">
        <v>9</v>
      </c>
      <c r="L9" s="9">
        <v>7</v>
      </c>
      <c r="M9" s="9">
        <v>1</v>
      </c>
      <c r="N9" s="8" t="s">
        <v>3</v>
      </c>
      <c r="O9" s="8" t="s">
        <v>3</v>
      </c>
      <c r="P9" s="8" t="s">
        <v>3</v>
      </c>
      <c r="Q9" s="8" t="s">
        <v>3</v>
      </c>
      <c r="R9">
        <f>SUM(C9:Q9)</f>
        <v>77</v>
      </c>
      <c r="S9" s="11">
        <f>R9/$R$22</f>
        <v>5.8599695585996953E-2</v>
      </c>
    </row>
    <row r="10" spans="1:19" ht="27.6" customHeight="1" x14ac:dyDescent="0.3">
      <c r="A10" s="4" t="s">
        <v>11</v>
      </c>
      <c r="B10" s="5"/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9">
        <v>4</v>
      </c>
      <c r="J10" s="9">
        <v>12</v>
      </c>
      <c r="K10" s="9">
        <v>2</v>
      </c>
      <c r="L10" s="9">
        <v>2</v>
      </c>
      <c r="M10" s="9">
        <v>12</v>
      </c>
      <c r="N10" s="9">
        <v>14</v>
      </c>
      <c r="O10" s="9">
        <v>12</v>
      </c>
      <c r="P10" s="9">
        <v>17</v>
      </c>
      <c r="Q10" s="8" t="s">
        <v>3</v>
      </c>
      <c r="R10">
        <f>SUM(C10:Q10)</f>
        <v>75</v>
      </c>
      <c r="S10" s="11">
        <f>R10/$R$22</f>
        <v>5.7077625570776253E-2</v>
      </c>
    </row>
    <row r="11" spans="1:19" ht="27.6" customHeight="1" x14ac:dyDescent="0.3">
      <c r="A11" s="4" t="s">
        <v>6</v>
      </c>
      <c r="B11" s="5"/>
      <c r="C11" s="8" t="s">
        <v>3</v>
      </c>
      <c r="D11" s="8" t="s">
        <v>3</v>
      </c>
      <c r="E11" s="9">
        <v>2</v>
      </c>
      <c r="F11" s="9">
        <v>7</v>
      </c>
      <c r="G11" s="9">
        <v>5</v>
      </c>
      <c r="H11" s="9">
        <v>13</v>
      </c>
      <c r="I11" s="9">
        <v>9</v>
      </c>
      <c r="J11" s="9">
        <v>8</v>
      </c>
      <c r="K11" s="9">
        <v>14</v>
      </c>
      <c r="L11" s="9">
        <v>14</v>
      </c>
      <c r="M11" s="8" t="s">
        <v>3</v>
      </c>
      <c r="N11" s="8" t="s">
        <v>3</v>
      </c>
      <c r="O11" s="8" t="s">
        <v>3</v>
      </c>
      <c r="P11" s="8" t="s">
        <v>3</v>
      </c>
      <c r="Q11" s="8" t="s">
        <v>3</v>
      </c>
      <c r="R11">
        <f>SUM(C11:Q11)</f>
        <v>72</v>
      </c>
      <c r="S11" s="11">
        <f>R11/$R$22</f>
        <v>5.4794520547945202E-2</v>
      </c>
    </row>
    <row r="12" spans="1:19" ht="27.6" customHeight="1" x14ac:dyDescent="0.3">
      <c r="A12" s="4" t="s">
        <v>16</v>
      </c>
      <c r="B12" s="5"/>
      <c r="C12" s="8" t="s">
        <v>3</v>
      </c>
      <c r="D12" s="8" t="s">
        <v>3</v>
      </c>
      <c r="E12" s="9">
        <v>9</v>
      </c>
      <c r="F12" s="9">
        <v>11</v>
      </c>
      <c r="G12" s="9">
        <v>7</v>
      </c>
      <c r="H12" s="9">
        <v>8</v>
      </c>
      <c r="I12" s="9">
        <v>10</v>
      </c>
      <c r="J12" s="9">
        <v>6</v>
      </c>
      <c r="K12" s="9">
        <v>8</v>
      </c>
      <c r="L12" s="9">
        <v>6</v>
      </c>
      <c r="M12" s="8" t="s">
        <v>3</v>
      </c>
      <c r="N12" s="8" t="s">
        <v>3</v>
      </c>
      <c r="O12" s="8" t="s">
        <v>3</v>
      </c>
      <c r="P12" s="8" t="s">
        <v>3</v>
      </c>
      <c r="Q12" s="8" t="s">
        <v>3</v>
      </c>
      <c r="R12">
        <f>SUM(C12:Q12)</f>
        <v>65</v>
      </c>
      <c r="S12" s="11">
        <f>R12/$R$22</f>
        <v>4.9467275494672752E-2</v>
      </c>
    </row>
    <row r="13" spans="1:19" ht="27.6" customHeight="1" x14ac:dyDescent="0.3">
      <c r="A13" s="4" t="s">
        <v>12</v>
      </c>
      <c r="B13" s="5"/>
      <c r="C13" s="8" t="s">
        <v>3</v>
      </c>
      <c r="D13" s="8" t="s">
        <v>3</v>
      </c>
      <c r="E13" s="9">
        <v>6</v>
      </c>
      <c r="F13" s="9">
        <v>8</v>
      </c>
      <c r="G13" s="9">
        <v>3</v>
      </c>
      <c r="H13" s="9">
        <v>12</v>
      </c>
      <c r="I13" s="9">
        <v>4</v>
      </c>
      <c r="J13" s="9">
        <v>2</v>
      </c>
      <c r="K13" s="9">
        <v>4</v>
      </c>
      <c r="L13" s="9">
        <v>7</v>
      </c>
      <c r="M13" s="8" t="s">
        <v>3</v>
      </c>
      <c r="N13" s="8" t="s">
        <v>3</v>
      </c>
      <c r="O13" s="8" t="s">
        <v>3</v>
      </c>
      <c r="P13" s="8" t="s">
        <v>3</v>
      </c>
      <c r="Q13" s="8" t="s">
        <v>3</v>
      </c>
      <c r="R13">
        <f>SUM(C13:Q13)</f>
        <v>46</v>
      </c>
      <c r="S13" s="11">
        <f>R13/$R$22</f>
        <v>3.5007610350076102E-2</v>
      </c>
    </row>
    <row r="14" spans="1:19" ht="27.6" customHeight="1" x14ac:dyDescent="0.3">
      <c r="A14" s="4" t="s">
        <v>13</v>
      </c>
      <c r="B14" s="5"/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9">
        <v>2</v>
      </c>
      <c r="J14" s="9">
        <v>4</v>
      </c>
      <c r="K14" s="9">
        <v>6</v>
      </c>
      <c r="L14" s="9">
        <v>8</v>
      </c>
      <c r="M14" s="9">
        <v>7</v>
      </c>
      <c r="N14" s="9">
        <v>6</v>
      </c>
      <c r="O14" s="9">
        <v>9</v>
      </c>
      <c r="P14" s="9">
        <v>4</v>
      </c>
      <c r="Q14" s="8" t="s">
        <v>3</v>
      </c>
      <c r="R14">
        <f>SUM(C14:Q14)</f>
        <v>46</v>
      </c>
      <c r="S14" s="11">
        <f>R14/$R$22</f>
        <v>3.5007610350076102E-2</v>
      </c>
    </row>
    <row r="15" spans="1:19" ht="27.6" customHeight="1" x14ac:dyDescent="0.3">
      <c r="A15" s="4" t="s">
        <v>19</v>
      </c>
      <c r="B15" s="5"/>
      <c r="C15" s="9">
        <v>7</v>
      </c>
      <c r="D15" s="9">
        <v>5</v>
      </c>
      <c r="E15" s="9">
        <v>11</v>
      </c>
      <c r="F15" s="9">
        <v>8</v>
      </c>
      <c r="G15" s="9">
        <v>4</v>
      </c>
      <c r="H15" s="9">
        <v>2</v>
      </c>
      <c r="I15" s="9">
        <v>7</v>
      </c>
      <c r="J15" s="9">
        <v>2</v>
      </c>
      <c r="K15" s="8" t="s">
        <v>3</v>
      </c>
      <c r="L15" s="8" t="s">
        <v>3</v>
      </c>
      <c r="M15" s="8" t="s">
        <v>3</v>
      </c>
      <c r="N15" s="8" t="s">
        <v>3</v>
      </c>
      <c r="O15" s="8" t="s">
        <v>3</v>
      </c>
      <c r="P15" s="8" t="s">
        <v>3</v>
      </c>
      <c r="Q15" s="8" t="s">
        <v>3</v>
      </c>
      <c r="R15">
        <f>SUM(C15:Q15)</f>
        <v>46</v>
      </c>
      <c r="S15" s="11">
        <f>R15/$R$22</f>
        <v>3.5007610350076102E-2</v>
      </c>
    </row>
    <row r="16" spans="1:19" ht="27.6" customHeight="1" x14ac:dyDescent="0.3">
      <c r="A16" s="4" t="s">
        <v>17</v>
      </c>
      <c r="B16" s="5"/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9">
        <v>5</v>
      </c>
      <c r="J16" s="9">
        <v>5</v>
      </c>
      <c r="K16" s="9">
        <v>3</v>
      </c>
      <c r="L16" s="9">
        <v>8</v>
      </c>
      <c r="M16" s="9">
        <v>6</v>
      </c>
      <c r="N16" s="9">
        <v>7</v>
      </c>
      <c r="O16" s="9">
        <v>5</v>
      </c>
      <c r="P16" s="9">
        <v>6</v>
      </c>
      <c r="Q16" s="8" t="s">
        <v>3</v>
      </c>
      <c r="R16">
        <f>SUM(C16:Q16)</f>
        <v>45</v>
      </c>
      <c r="S16" s="11">
        <f>R16/$R$22</f>
        <v>3.4246575342465752E-2</v>
      </c>
    </row>
    <row r="17" spans="1:19" ht="27.6" customHeight="1" x14ac:dyDescent="0.3">
      <c r="A17" s="4" t="s">
        <v>14</v>
      </c>
      <c r="B17" s="5"/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9">
        <v>2</v>
      </c>
      <c r="J17" s="9">
        <v>4</v>
      </c>
      <c r="K17" s="9">
        <v>3</v>
      </c>
      <c r="L17" s="9">
        <v>4</v>
      </c>
      <c r="M17" s="9">
        <v>11</v>
      </c>
      <c r="N17" s="9">
        <v>6</v>
      </c>
      <c r="O17" s="9">
        <v>5</v>
      </c>
      <c r="P17" s="9">
        <v>7</v>
      </c>
      <c r="Q17" s="9">
        <v>2</v>
      </c>
      <c r="R17">
        <f>SUM(C17:Q17)</f>
        <v>44</v>
      </c>
      <c r="S17" s="11">
        <f>R17/$R$22</f>
        <v>3.3485540334855401E-2</v>
      </c>
    </row>
    <row r="18" spans="1:19" ht="27.6" customHeight="1" x14ac:dyDescent="0.3">
      <c r="A18" s="4" t="s">
        <v>7</v>
      </c>
      <c r="B18" s="5"/>
      <c r="C18" s="9">
        <v>4</v>
      </c>
      <c r="D18" s="9">
        <v>4</v>
      </c>
      <c r="E18" s="9">
        <v>8</v>
      </c>
      <c r="F18" s="9">
        <v>7</v>
      </c>
      <c r="G18" s="9">
        <v>5</v>
      </c>
      <c r="H18" s="9">
        <v>6</v>
      </c>
      <c r="I18" s="9">
        <v>4</v>
      </c>
      <c r="J18" s="8" t="s">
        <v>3</v>
      </c>
      <c r="K18" s="8" t="s">
        <v>3</v>
      </c>
      <c r="L18" s="8" t="s">
        <v>3</v>
      </c>
      <c r="M18" s="8" t="s">
        <v>3</v>
      </c>
      <c r="N18" s="8" t="s">
        <v>3</v>
      </c>
      <c r="O18" s="8" t="s">
        <v>3</v>
      </c>
      <c r="P18" s="8" t="s">
        <v>3</v>
      </c>
      <c r="Q18" s="8" t="s">
        <v>3</v>
      </c>
      <c r="R18">
        <f>SUM(C18:Q18)</f>
        <v>38</v>
      </c>
      <c r="S18" s="11">
        <f>R18/$R$22</f>
        <v>2.8919330289193301E-2</v>
      </c>
    </row>
    <row r="19" spans="1:19" ht="27.6" customHeight="1" x14ac:dyDescent="0.3">
      <c r="A19" s="4" t="s">
        <v>3</v>
      </c>
      <c r="B19" s="5"/>
      <c r="C19" s="8" t="s">
        <v>3</v>
      </c>
      <c r="D19" s="9">
        <v>1</v>
      </c>
      <c r="E19" s="9">
        <v>3</v>
      </c>
      <c r="F19" s="9">
        <v>2</v>
      </c>
      <c r="G19" s="8" t="s">
        <v>3</v>
      </c>
      <c r="H19" s="9">
        <v>1</v>
      </c>
      <c r="I19" s="9">
        <v>2</v>
      </c>
      <c r="J19" s="9">
        <v>1</v>
      </c>
      <c r="K19" s="8" t="s">
        <v>3</v>
      </c>
      <c r="L19" s="8" t="s">
        <v>3</v>
      </c>
      <c r="M19" s="8" t="s">
        <v>3</v>
      </c>
      <c r="N19" s="8" t="s">
        <v>3</v>
      </c>
      <c r="O19" s="8" t="s">
        <v>3</v>
      </c>
      <c r="P19" s="8" t="s">
        <v>3</v>
      </c>
      <c r="Q19" s="8" t="s">
        <v>3</v>
      </c>
      <c r="R19">
        <f>SUM(C19:Q19)</f>
        <v>10</v>
      </c>
      <c r="S19" s="11">
        <f>R19/$R$22</f>
        <v>7.6103500761035003E-3</v>
      </c>
    </row>
    <row r="20" spans="1:19" ht="27.6" customHeight="1" x14ac:dyDescent="0.3">
      <c r="A20" s="4" t="s">
        <v>4</v>
      </c>
      <c r="B20" s="5"/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9">
        <v>1</v>
      </c>
      <c r="K20" s="9">
        <v>1</v>
      </c>
      <c r="L20" s="8" t="s">
        <v>3</v>
      </c>
      <c r="M20" s="9">
        <v>1</v>
      </c>
      <c r="N20" s="9">
        <v>2</v>
      </c>
      <c r="O20" s="9">
        <v>2</v>
      </c>
      <c r="P20" s="9">
        <v>1</v>
      </c>
      <c r="Q20" s="8" t="s">
        <v>3</v>
      </c>
      <c r="R20">
        <f>SUM(C20:Q20)</f>
        <v>8</v>
      </c>
      <c r="S20" s="11">
        <f>R20/$R$22</f>
        <v>6.0882800608828003E-3</v>
      </c>
    </row>
    <row r="21" spans="1:19" ht="27.6" customHeight="1" x14ac:dyDescent="0.3">
      <c r="A21" s="4" t="s">
        <v>18</v>
      </c>
      <c r="B21" s="5"/>
      <c r="C21" s="9">
        <v>4</v>
      </c>
      <c r="D21" s="9">
        <v>1</v>
      </c>
      <c r="E21" s="8" t="s">
        <v>3</v>
      </c>
      <c r="F21" s="8" t="s">
        <v>3</v>
      </c>
      <c r="G21" s="8" t="s">
        <v>3</v>
      </c>
      <c r="H21" s="8" t="s">
        <v>3</v>
      </c>
      <c r="I21" s="9">
        <v>2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  <c r="R21">
        <f>SUM(C21:Q21)</f>
        <v>7</v>
      </c>
      <c r="S21" s="11">
        <f>R21/$R$22</f>
        <v>5.3272450532724502E-3</v>
      </c>
    </row>
    <row r="22" spans="1:19" ht="27.6" customHeight="1" x14ac:dyDescent="0.3">
      <c r="A22" s="6" t="s">
        <v>22</v>
      </c>
      <c r="B22" s="7"/>
      <c r="C22" s="10">
        <v>37</v>
      </c>
      <c r="D22" s="10">
        <v>23</v>
      </c>
      <c r="E22" s="10">
        <v>120</v>
      </c>
      <c r="F22" s="10">
        <v>138</v>
      </c>
      <c r="G22" s="10">
        <v>118</v>
      </c>
      <c r="H22" s="10">
        <v>151</v>
      </c>
      <c r="I22" s="10">
        <v>152</v>
      </c>
      <c r="J22" s="10">
        <v>130</v>
      </c>
      <c r="K22" s="10">
        <v>107</v>
      </c>
      <c r="L22" s="10">
        <v>121</v>
      </c>
      <c r="M22" s="10">
        <v>57</v>
      </c>
      <c r="N22" s="10">
        <v>53</v>
      </c>
      <c r="O22" s="10">
        <v>50</v>
      </c>
      <c r="P22" s="10">
        <v>46</v>
      </c>
      <c r="Q22" s="10">
        <v>11</v>
      </c>
      <c r="R22">
        <f>SUM(C22:Q22)</f>
        <v>1314</v>
      </c>
      <c r="S22" s="11"/>
    </row>
  </sheetData>
  <autoFilter ref="A1:S22" xr:uid="{00000000-0001-0000-0000-000000000000}">
    <sortState xmlns:xlrd2="http://schemas.microsoft.com/office/spreadsheetml/2017/richdata2" ref="A2:S22">
      <sortCondition descending="1" ref="S1:S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Hurtado Pedro</cp:lastModifiedBy>
  <dcterms:created xsi:type="dcterms:W3CDTF">2025-07-14T15:50:16Z</dcterms:created>
  <dcterms:modified xsi:type="dcterms:W3CDTF">2025-07-14T15:53:15Z</dcterms:modified>
</cp:coreProperties>
</file>